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 Financial Model" sheetId="1" r:id="rId5"/>
  </sheets>
  <definedNames/>
  <calcPr/>
</workbook>
</file>

<file path=xl/sharedStrings.xml><?xml version="1.0" encoding="utf-8"?>
<sst xmlns="http://schemas.openxmlformats.org/spreadsheetml/2006/main" count="17" uniqueCount="17">
  <si>
    <t>EV Lightweight Materials Business Financial Dashboard</t>
  </si>
  <si>
    <t>Initial Investment</t>
  </si>
  <si>
    <t>Annual Operational Cost</t>
  </si>
  <si>
    <t>Units Produced Per Year</t>
  </si>
  <si>
    <t>Price Per Unit</t>
  </si>
  <si>
    <t>Discount Rate</t>
  </si>
  <si>
    <t>Number of Years</t>
  </si>
  <si>
    <t>Year</t>
  </si>
  <si>
    <t>Revenue</t>
  </si>
  <si>
    <t>Operational Cost</t>
  </si>
  <si>
    <t>Net Profit</t>
  </si>
  <si>
    <t>Cumulative Profit</t>
  </si>
  <si>
    <t>Summary</t>
  </si>
  <si>
    <t>Annual Revenue</t>
  </si>
  <si>
    <t>Annual Net Profit</t>
  </si>
  <si>
    <t>Total Profit</t>
  </si>
  <si>
    <t>NPV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</si>
</sst>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6">
    <font>
      <sz val="11.0"/>
      <color theme="1"/>
      <name val="Calibri"/>
      <scheme val="minor"/>
    </font>
    <font>
      <b/>
      <sz val="16.0"/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vertical="center"/>
    </xf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3" fillId="0" fontId="5" numFmtId="0" xfId="0" applyBorder="1" applyFont="1"/>
    <xf borderId="1" fillId="2" fontId="2" numFmtId="0" xfId="0" applyBorder="1" applyFont="1"/>
    <xf borderId="1" fillId="2" fontId="3" numFmtId="0" xfId="0" applyBorder="1" applyFont="1"/>
    <xf borderId="1" fillId="2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4" width="18.0"/>
    <col customWidth="1" min="5" max="5" width="20.0"/>
    <col customWidth="1" min="6" max="26" width="8.71"/>
  </cols>
  <sheetData>
    <row r="1">
      <c r="A1" s="1" t="s">
        <v>0</v>
      </c>
      <c r="E1" s="2"/>
    </row>
    <row r="3">
      <c r="A3" s="3" t="s">
        <v>1</v>
      </c>
      <c r="B3" s="4">
        <v>5.0E7</v>
      </c>
    </row>
    <row r="4">
      <c r="A4" s="3" t="s">
        <v>2</v>
      </c>
      <c r="B4" s="4">
        <v>2.0E7</v>
      </c>
    </row>
    <row r="5">
      <c r="A5" s="3" t="s">
        <v>3</v>
      </c>
      <c r="B5" s="4">
        <v>25000.0</v>
      </c>
    </row>
    <row r="6">
      <c r="A6" s="3" t="s">
        <v>4</v>
      </c>
      <c r="B6" s="4">
        <v>6000.0</v>
      </c>
    </row>
    <row r="7">
      <c r="A7" s="3" t="s">
        <v>5</v>
      </c>
      <c r="B7" s="4">
        <v>0.05</v>
      </c>
    </row>
    <row r="8">
      <c r="A8" s="3" t="s">
        <v>6</v>
      </c>
      <c r="B8" s="5">
        <v>1.0</v>
      </c>
    </row>
    <row r="10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>
      <c r="A11" s="7">
        <f t="shared" ref="A11:A25" si="1">IF(ROW()-10 &lt;= $B$8, ROW()-10, "")</f>
        <v>1</v>
      </c>
      <c r="B11" s="7">
        <f t="shared" ref="B11:B25" si="2">IF(A11="","",$B$5*$B$6)</f>
        <v>150000000</v>
      </c>
      <c r="C11" s="7">
        <f t="shared" ref="C11:C25" si="3">IF(A11="","",$B$4)</f>
        <v>20000000</v>
      </c>
      <c r="D11" s="7">
        <f t="shared" ref="D11:D25" si="4">IF(A11="","",B11-C11)</f>
        <v>130000000</v>
      </c>
      <c r="E11" s="7">
        <f>IF(A11="","",D11-$B$3)</f>
        <v>80000000</v>
      </c>
    </row>
    <row r="12">
      <c r="A12" s="7" t="str">
        <f t="shared" si="1"/>
        <v/>
      </c>
      <c r="B12" s="7" t="str">
        <f t="shared" si="2"/>
        <v/>
      </c>
      <c r="C12" s="7" t="str">
        <f t="shared" si="3"/>
        <v/>
      </c>
      <c r="D12" s="7" t="str">
        <f t="shared" si="4"/>
        <v/>
      </c>
      <c r="E12" s="7" t="str">
        <f t="shared" ref="E12:E25" si="5">IF(A12="","",E11+D12)</f>
        <v/>
      </c>
    </row>
    <row r="13">
      <c r="A13" s="7" t="str">
        <f t="shared" si="1"/>
        <v/>
      </c>
      <c r="B13" s="7" t="str">
        <f t="shared" si="2"/>
        <v/>
      </c>
      <c r="C13" s="7" t="str">
        <f t="shared" si="3"/>
        <v/>
      </c>
      <c r="D13" s="7" t="str">
        <f t="shared" si="4"/>
        <v/>
      </c>
      <c r="E13" s="7" t="str">
        <f t="shared" si="5"/>
        <v/>
      </c>
    </row>
    <row r="14">
      <c r="A14" s="7" t="str">
        <f t="shared" si="1"/>
        <v/>
      </c>
      <c r="B14" s="7" t="str">
        <f t="shared" si="2"/>
        <v/>
      </c>
      <c r="C14" s="7" t="str">
        <f t="shared" si="3"/>
        <v/>
      </c>
      <c r="D14" s="7" t="str">
        <f t="shared" si="4"/>
        <v/>
      </c>
      <c r="E14" s="7" t="str">
        <f t="shared" si="5"/>
        <v/>
      </c>
    </row>
    <row r="15">
      <c r="A15" s="7" t="str">
        <f t="shared" si="1"/>
        <v/>
      </c>
      <c r="B15" s="7" t="str">
        <f t="shared" si="2"/>
        <v/>
      </c>
      <c r="C15" s="7" t="str">
        <f t="shared" si="3"/>
        <v/>
      </c>
      <c r="D15" s="7" t="str">
        <f t="shared" si="4"/>
        <v/>
      </c>
      <c r="E15" s="7" t="str">
        <f t="shared" si="5"/>
        <v/>
      </c>
    </row>
    <row r="16">
      <c r="A16" s="7" t="str">
        <f t="shared" si="1"/>
        <v/>
      </c>
      <c r="B16" s="7" t="str">
        <f t="shared" si="2"/>
        <v/>
      </c>
      <c r="C16" s="7" t="str">
        <f t="shared" si="3"/>
        <v/>
      </c>
      <c r="D16" s="7" t="str">
        <f t="shared" si="4"/>
        <v/>
      </c>
      <c r="E16" s="7" t="str">
        <f t="shared" si="5"/>
        <v/>
      </c>
    </row>
    <row r="17">
      <c r="A17" s="7" t="str">
        <f t="shared" si="1"/>
        <v/>
      </c>
      <c r="B17" s="7" t="str">
        <f t="shared" si="2"/>
        <v/>
      </c>
      <c r="C17" s="7" t="str">
        <f t="shared" si="3"/>
        <v/>
      </c>
      <c r="D17" s="7" t="str">
        <f t="shared" si="4"/>
        <v/>
      </c>
      <c r="E17" s="7" t="str">
        <f t="shared" si="5"/>
        <v/>
      </c>
    </row>
    <row r="18">
      <c r="A18" s="7" t="str">
        <f t="shared" si="1"/>
        <v/>
      </c>
      <c r="B18" s="7" t="str">
        <f t="shared" si="2"/>
        <v/>
      </c>
      <c r="C18" s="7" t="str">
        <f t="shared" si="3"/>
        <v/>
      </c>
      <c r="D18" s="7" t="str">
        <f t="shared" si="4"/>
        <v/>
      </c>
      <c r="E18" s="7" t="str">
        <f t="shared" si="5"/>
        <v/>
      </c>
    </row>
    <row r="19">
      <c r="A19" s="7" t="str">
        <f t="shared" si="1"/>
        <v/>
      </c>
      <c r="B19" s="7" t="str">
        <f t="shared" si="2"/>
        <v/>
      </c>
      <c r="C19" s="7" t="str">
        <f t="shared" si="3"/>
        <v/>
      </c>
      <c r="D19" s="7" t="str">
        <f t="shared" si="4"/>
        <v/>
      </c>
      <c r="E19" s="7" t="str">
        <f t="shared" si="5"/>
        <v/>
      </c>
    </row>
    <row r="20">
      <c r="A20" s="7" t="str">
        <f t="shared" si="1"/>
        <v/>
      </c>
      <c r="B20" s="7" t="str">
        <f t="shared" si="2"/>
        <v/>
      </c>
      <c r="C20" s="7" t="str">
        <f t="shared" si="3"/>
        <v/>
      </c>
      <c r="D20" s="7" t="str">
        <f t="shared" si="4"/>
        <v/>
      </c>
      <c r="E20" s="7" t="str">
        <f t="shared" si="5"/>
        <v/>
      </c>
    </row>
    <row r="21" ht="15.75" customHeight="1">
      <c r="A21" s="7" t="str">
        <f t="shared" si="1"/>
        <v/>
      </c>
      <c r="B21" s="7" t="str">
        <f t="shared" si="2"/>
        <v/>
      </c>
      <c r="C21" s="7" t="str">
        <f t="shared" si="3"/>
        <v/>
      </c>
      <c r="D21" s="7" t="str">
        <f t="shared" si="4"/>
        <v/>
      </c>
      <c r="E21" s="7" t="str">
        <f t="shared" si="5"/>
        <v/>
      </c>
    </row>
    <row r="22" ht="15.75" customHeight="1">
      <c r="A22" s="7" t="str">
        <f t="shared" si="1"/>
        <v/>
      </c>
      <c r="B22" s="7" t="str">
        <f t="shared" si="2"/>
        <v/>
      </c>
      <c r="C22" s="7" t="str">
        <f t="shared" si="3"/>
        <v/>
      </c>
      <c r="D22" s="7" t="str">
        <f t="shared" si="4"/>
        <v/>
      </c>
      <c r="E22" s="7" t="str">
        <f t="shared" si="5"/>
        <v/>
      </c>
    </row>
    <row r="23" ht="15.75" customHeight="1">
      <c r="A23" s="7" t="str">
        <f t="shared" si="1"/>
        <v/>
      </c>
      <c r="B23" s="7" t="str">
        <f t="shared" si="2"/>
        <v/>
      </c>
      <c r="C23" s="7" t="str">
        <f t="shared" si="3"/>
        <v/>
      </c>
      <c r="D23" s="7" t="str">
        <f t="shared" si="4"/>
        <v/>
      </c>
      <c r="E23" s="7" t="str">
        <f t="shared" si="5"/>
        <v/>
      </c>
    </row>
    <row r="24" ht="15.75" customHeight="1">
      <c r="A24" s="7" t="str">
        <f t="shared" si="1"/>
        <v/>
      </c>
      <c r="B24" s="7" t="str">
        <f t="shared" si="2"/>
        <v/>
      </c>
      <c r="C24" s="7" t="str">
        <f t="shared" si="3"/>
        <v/>
      </c>
      <c r="D24" s="7" t="str">
        <f t="shared" si="4"/>
        <v/>
      </c>
      <c r="E24" s="7" t="str">
        <f t="shared" si="5"/>
        <v/>
      </c>
    </row>
    <row r="25" ht="15.75" customHeight="1">
      <c r="A25" s="7" t="str">
        <f t="shared" si="1"/>
        <v/>
      </c>
      <c r="B25" s="7" t="str">
        <f t="shared" si="2"/>
        <v/>
      </c>
      <c r="C25" s="7" t="str">
        <f t="shared" si="3"/>
        <v/>
      </c>
      <c r="D25" s="7" t="str">
        <f t="shared" si="4"/>
        <v/>
      </c>
      <c r="E25" s="7" t="str">
        <f t="shared" si="5"/>
        <v/>
      </c>
    </row>
    <row r="26" ht="15.75" customHeight="1"/>
    <row r="27" ht="15.75" customHeight="1">
      <c r="A27" s="8" t="s">
        <v>12</v>
      </c>
      <c r="B27" s="9"/>
    </row>
    <row r="28" ht="15.75" customHeight="1">
      <c r="A28" s="10" t="s">
        <v>13</v>
      </c>
      <c r="B28" s="11">
        <f>B5*B6</f>
        <v>150000000</v>
      </c>
    </row>
    <row r="29" ht="15.75" customHeight="1">
      <c r="A29" s="10" t="s">
        <v>14</v>
      </c>
      <c r="B29" s="11">
        <f>(B5*B6)-B4</f>
        <v>130000000</v>
      </c>
    </row>
    <row r="30" ht="15.75" customHeight="1">
      <c r="A30" s="10" t="s">
        <v>15</v>
      </c>
      <c r="B30" s="11">
        <f>SUM(D11:D25)</f>
        <v>130000000</v>
      </c>
    </row>
    <row r="31" ht="15.75" customHeight="1">
      <c r="A31" s="10" t="s">
        <v>16</v>
      </c>
      <c r="B31" s="12">
        <f t="array" ref="B31">NPV(B7,D11:D25)-B3</f>
        <v>73809523.81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7:B27"/>
  </mergeCells>
  <printOptions/>
  <pageMargins bottom="1.0" footer="0.0" header="0.0" left="0.75" right="0.75" top="1.0"/>
  <pageSetup orientation="landscape"/>
  <drawing r:id="rId1"/>
</worksheet>
</file>